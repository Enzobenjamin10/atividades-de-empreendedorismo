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Pichau\Downloads\"/>
    </mc:Choice>
  </mc:AlternateContent>
  <xr:revisionPtr revIDLastSave="0" documentId="8_{31465CF2-A724-4207-9668-F32A95D4A57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luno" sheetId="1" r:id="rId1"/>
    <sheet name="Fator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24" i="1" l="1"/>
  <c r="Q23" i="1"/>
  <c r="Q22" i="1"/>
  <c r="Q19" i="1"/>
  <c r="Q18" i="1"/>
  <c r="Q17" i="1"/>
  <c r="Q16" i="1"/>
  <c r="N24" i="1"/>
  <c r="N23" i="1"/>
  <c r="N22" i="1"/>
  <c r="N19" i="1"/>
  <c r="N18" i="1"/>
  <c r="N17" i="1"/>
  <c r="N16" i="1"/>
  <c r="K24" i="1"/>
  <c r="K23" i="1"/>
  <c r="K22" i="1"/>
  <c r="K19" i="1"/>
  <c r="K18" i="1"/>
  <c r="K17" i="1"/>
  <c r="K16" i="1"/>
  <c r="H24" i="1"/>
  <c r="H23" i="1"/>
  <c r="H22" i="1"/>
  <c r="H19" i="1"/>
  <c r="H18" i="1"/>
  <c r="H17" i="1"/>
  <c r="E24" i="1"/>
  <c r="E23" i="1"/>
  <c r="E22" i="1"/>
  <c r="B24" i="1"/>
  <c r="B23" i="1"/>
  <c r="B22" i="1"/>
  <c r="K3" i="2"/>
  <c r="K1" i="2"/>
  <c r="H3" i="2"/>
  <c r="E6" i="2" s="1"/>
  <c r="H1" i="2"/>
  <c r="D9" i="2" s="1"/>
  <c r="D7" i="2" l="1"/>
  <c r="E7" i="2"/>
  <c r="E8" i="2"/>
  <c r="E9" i="2"/>
  <c r="D6" i="2"/>
  <c r="D8" i="2"/>
</calcChain>
</file>

<file path=xl/sharedStrings.xml><?xml version="1.0" encoding="utf-8"?>
<sst xmlns="http://schemas.openxmlformats.org/spreadsheetml/2006/main" count="82" uniqueCount="37">
  <si>
    <t>Utilize fórmulas para realizar os cálculos</t>
  </si>
  <si>
    <t>d) Calcule o saldo acumulado mês a mês</t>
  </si>
  <si>
    <t>c) Quanto sobra mensalmente para Sérgio?</t>
  </si>
  <si>
    <t>b) Qual o total de despesa mensal de Sérgio?</t>
  </si>
  <si>
    <t>a) Todas as despesas e receitas mês a mês.</t>
  </si>
  <si>
    <t>Monte uma planilha, de Janeiro a Junho que mostre os seguintes itens:</t>
  </si>
  <si>
    <t>Em Abril, Sérgio ganhou 10% de aumento no seu salário. Também teve uma despesa extra com hospital de R$ 595,00</t>
  </si>
  <si>
    <t>A cada dois meses, com início em Janeiro, ele contribue com R$ 200,00 a uma ONG de crianças carentes</t>
  </si>
  <si>
    <t>A partir de Março ocorreram os seguintes reajustes: Transporte 8%; telefone/internet 7% e outras despesas 5,5%</t>
  </si>
  <si>
    <t>Ele gasta R$ 196,00 em Transporte, R$ 150,00 em telefone/internet e R$ 900,00 em outras despesas todos os meses.</t>
  </si>
  <si>
    <t>Em Janeiro de 2026, Sérgio começou a trabalhar e o seu salário inicial era de R$ 1.700,00.</t>
  </si>
  <si>
    <t>Fórmula de reajuste  =  1 + % / 100</t>
  </si>
  <si>
    <t>reajuste de --&gt;</t>
  </si>
  <si>
    <t>Fórmula de desconto  =  1 - % / 100</t>
  </si>
  <si>
    <t>desconto de --&gt;</t>
  </si>
  <si>
    <t>$ Orig.</t>
  </si>
  <si>
    <t>$ Reaj.</t>
  </si>
  <si>
    <t>$ Desc.</t>
  </si>
  <si>
    <t>Internet</t>
  </si>
  <si>
    <t>Netflix</t>
  </si>
  <si>
    <t>Água</t>
  </si>
  <si>
    <t>Luz</t>
  </si>
  <si>
    <t>Março</t>
  </si>
  <si>
    <t>Salário</t>
  </si>
  <si>
    <t>Transporte</t>
  </si>
  <si>
    <t>Telefone</t>
  </si>
  <si>
    <t>Janeiro</t>
  </si>
  <si>
    <t>Outras</t>
  </si>
  <si>
    <t>Ong</t>
  </si>
  <si>
    <t>Desp/Extras</t>
  </si>
  <si>
    <t>Total/Desp</t>
  </si>
  <si>
    <t>Sobra</t>
  </si>
  <si>
    <t>Saldo Acmld</t>
  </si>
  <si>
    <t>Fevereiro</t>
  </si>
  <si>
    <t>Abril</t>
  </si>
  <si>
    <t>Maio</t>
  </si>
  <si>
    <t>Junho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</si>
</sst>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000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</cellStyleXfs>
  <cellXfs count="41">
    <xf numFmtId="0" fontId="0" fillId="0" borderId="0" xfId="0"/>
    <xf numFmtId="0" fontId="1" fillId="0" borderId="0" xfId="3"/>
    <xf numFmtId="0" fontId="0" fillId="0" borderId="0" xfId="3" applyFont="1"/>
    <xf numFmtId="2" fontId="0" fillId="0" borderId="0" xfId="1" applyNumberFormat="1" applyFont="1"/>
    <xf numFmtId="164" fontId="0" fillId="0" borderId="0" xfId="0" applyNumberFormat="1"/>
    <xf numFmtId="10" fontId="0" fillId="0" borderId="0" xfId="2" applyNumberFormat="1" applyFont="1"/>
    <xf numFmtId="10" fontId="0" fillId="0" borderId="0" xfId="0" applyNumberFormat="1"/>
    <xf numFmtId="2" fontId="0" fillId="0" borderId="0" xfId="0" applyNumberFormat="1"/>
    <xf numFmtId="0" fontId="2" fillId="0" borderId="0" xfId="0" applyFont="1" applyAlignment="1">
      <alignment horizontal="center"/>
    </xf>
    <xf numFmtId="43" fontId="0" fillId="0" borderId="0" xfId="1" applyFont="1"/>
    <xf numFmtId="43" fontId="0" fillId="0" borderId="0" xfId="0" applyNumberFormat="1"/>
    <xf numFmtId="9" fontId="0" fillId="0" borderId="0" xfId="2" applyFont="1"/>
    <xf numFmtId="0" fontId="2" fillId="0" borderId="0" xfId="3" applyFont="1" applyAlignment="1">
      <alignment horizontal="center"/>
    </xf>
    <xf numFmtId="0" fontId="1" fillId="0" borderId="0" xfId="3" applyFill="1"/>
    <xf numFmtId="43" fontId="2" fillId="0" borderId="0" xfId="1" applyFont="1"/>
    <xf numFmtId="43" fontId="2" fillId="0" borderId="0" xfId="1" applyFont="1" applyFill="1" applyAlignment="1">
      <alignment horizontal="center"/>
    </xf>
    <xf numFmtId="43" fontId="1" fillId="0" borderId="0" xfId="3" applyNumberFormat="1" applyFill="1"/>
    <xf numFmtId="0" fontId="2" fillId="0" borderId="0" xfId="3" applyFont="1" applyFill="1" applyAlignment="1">
      <alignment vertical="top"/>
    </xf>
    <xf numFmtId="0" fontId="2" fillId="0" borderId="0" xfId="3" applyFont="1" applyFill="1" applyAlignment="1"/>
    <xf numFmtId="44" fontId="0" fillId="0" borderId="0" xfId="0" applyNumberFormat="1"/>
    <xf numFmtId="44" fontId="2" fillId="0" borderId="0" xfId="0" applyNumberFormat="1" applyFont="1"/>
    <xf numFmtId="44" fontId="2" fillId="0" borderId="0" xfId="3" applyNumberFormat="1" applyFont="1" applyFill="1"/>
    <xf numFmtId="44" fontId="2" fillId="0" borderId="0" xfId="3" applyNumberFormat="1" applyFont="1"/>
    <xf numFmtId="44" fontId="2" fillId="7" borderId="0" xfId="3" applyNumberFormat="1" applyFont="1" applyFill="1" applyAlignment="1">
      <alignment horizontal="center"/>
    </xf>
    <xf numFmtId="44" fontId="2" fillId="7" borderId="0" xfId="3" applyNumberFormat="1" applyFont="1" applyFill="1"/>
    <xf numFmtId="44" fontId="2" fillId="7" borderId="0" xfId="0" applyNumberFormat="1" applyFont="1" applyFill="1"/>
    <xf numFmtId="44" fontId="2" fillId="6" borderId="0" xfId="3" applyNumberFormat="1" applyFont="1" applyFill="1" applyAlignment="1">
      <alignment horizontal="center"/>
    </xf>
    <xf numFmtId="44" fontId="2" fillId="6" borderId="0" xfId="3" applyNumberFormat="1" applyFont="1" applyFill="1"/>
    <xf numFmtId="44" fontId="2" fillId="6" borderId="0" xfId="0" applyNumberFormat="1" applyFont="1" applyFill="1"/>
    <xf numFmtId="44" fontId="2" fillId="5" borderId="0" xfId="3" applyNumberFormat="1" applyFont="1" applyFill="1" applyAlignment="1">
      <alignment horizontal="center"/>
    </xf>
    <xf numFmtId="44" fontId="2" fillId="5" borderId="0" xfId="3" applyNumberFormat="1" applyFont="1" applyFill="1"/>
    <xf numFmtId="44" fontId="2" fillId="5" borderId="0" xfId="0" applyNumberFormat="1" applyFont="1" applyFill="1"/>
    <xf numFmtId="44" fontId="2" fillId="4" borderId="0" xfId="3" applyNumberFormat="1" applyFont="1" applyFill="1" applyAlignment="1">
      <alignment horizontal="center" vertical="top"/>
    </xf>
    <xf numFmtId="44" fontId="2" fillId="4" borderId="0" xfId="3" applyNumberFormat="1" applyFont="1" applyFill="1"/>
    <xf numFmtId="44" fontId="2" fillId="4" borderId="0" xfId="0" applyNumberFormat="1" applyFont="1" applyFill="1"/>
    <xf numFmtId="44" fontId="2" fillId="3" borderId="0" xfId="3" applyNumberFormat="1" applyFont="1" applyFill="1" applyAlignment="1">
      <alignment horizontal="center"/>
    </xf>
    <xf numFmtId="44" fontId="2" fillId="3" borderId="0" xfId="3" applyNumberFormat="1" applyFont="1" applyFill="1"/>
    <xf numFmtId="44" fontId="2" fillId="3" borderId="0" xfId="0" applyNumberFormat="1" applyFont="1" applyFill="1"/>
    <xf numFmtId="44" fontId="2" fillId="2" borderId="0" xfId="0" applyNumberFormat="1" applyFont="1" applyFill="1" applyAlignment="1">
      <alignment horizontal="center"/>
    </xf>
    <xf numFmtId="44" fontId="2" fillId="2" borderId="0" xfId="3" applyNumberFormat="1" applyFont="1" applyFill="1"/>
    <xf numFmtId="44" fontId="2" fillId="2" borderId="0" xfId="0" applyNumberFormat="1" applyFont="1" applyFill="1"/>
  </cellXfs>
  <cellStyles count="4">
    <cellStyle name="Normal" xfId="0" builtinId="0"/>
    <cellStyle name="Normal 4" xfId="3" xr:uid="{00000000-0005-0000-0000-000001000000}"/>
    <cellStyle name="Porcentagem" xfId="2" builtinId="5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0"/>
  <sheetViews>
    <sheetView tabSelected="1" zoomScaleNormal="100" workbookViewId="0">
      <selection activeCell="E12" sqref="E12"/>
    </sheetView>
  </sheetViews>
  <sheetFormatPr defaultColWidth="10.42578125" defaultRowHeight="15" x14ac:dyDescent="0.25"/>
  <cols>
    <col min="1" max="1" width="12.85546875" style="1" customWidth="1"/>
    <col min="2" max="2" width="12.140625" style="1" bestFit="1" customWidth="1"/>
    <col min="3" max="3" width="11.42578125" style="1" bestFit="1" customWidth="1"/>
    <col min="4" max="4" width="12.5703125" style="1" customWidth="1"/>
    <col min="5" max="5" width="12.140625" style="1" bestFit="1" customWidth="1"/>
    <col min="6" max="7" width="11.42578125" style="1" bestFit="1" customWidth="1"/>
    <col min="8" max="8" width="12.140625" style="1" bestFit="1" customWidth="1"/>
    <col min="9" max="9" width="10.42578125" style="1"/>
    <col min="10" max="10" width="12" style="1" customWidth="1"/>
    <col min="11" max="11" width="12.140625" style="1" bestFit="1" customWidth="1"/>
    <col min="12" max="12" width="10.42578125" style="1"/>
    <col min="13" max="13" width="12.5703125" style="1" customWidth="1"/>
    <col min="14" max="14" width="12.140625" style="1" bestFit="1" customWidth="1"/>
    <col min="15" max="15" width="10.42578125" style="1"/>
    <col min="16" max="16" width="11.7109375" style="1" customWidth="1"/>
    <col min="17" max="17" width="12.140625" style="1" bestFit="1" customWidth="1"/>
    <col min="18" max="16384" width="10.42578125" style="1"/>
  </cols>
  <sheetData>
    <row r="1" spans="1:17" x14ac:dyDescent="0.25">
      <c r="A1" s="1" t="s">
        <v>10</v>
      </c>
    </row>
    <row r="2" spans="1:17" x14ac:dyDescent="0.25">
      <c r="A2" s="1" t="s">
        <v>9</v>
      </c>
    </row>
    <row r="3" spans="1:17" x14ac:dyDescent="0.25">
      <c r="A3" s="1" t="s">
        <v>8</v>
      </c>
    </row>
    <row r="4" spans="1:17" x14ac:dyDescent="0.25">
      <c r="A4" s="1" t="s">
        <v>7</v>
      </c>
    </row>
    <row r="5" spans="1:17" x14ac:dyDescent="0.25">
      <c r="A5" s="2" t="s">
        <v>6</v>
      </c>
    </row>
    <row r="7" spans="1:17" x14ac:dyDescent="0.25">
      <c r="A7" s="1" t="s">
        <v>5</v>
      </c>
    </row>
    <row r="8" spans="1:17" x14ac:dyDescent="0.25">
      <c r="A8" s="1" t="s">
        <v>4</v>
      </c>
    </row>
    <row r="9" spans="1:17" x14ac:dyDescent="0.25">
      <c r="A9" s="1" t="s">
        <v>3</v>
      </c>
    </row>
    <row r="10" spans="1:17" x14ac:dyDescent="0.25">
      <c r="A10" s="1" t="s">
        <v>2</v>
      </c>
    </row>
    <row r="11" spans="1:17" x14ac:dyDescent="0.25">
      <c r="A11" s="1" t="s">
        <v>1</v>
      </c>
    </row>
    <row r="13" spans="1:17" x14ac:dyDescent="0.25">
      <c r="A13" s="1" t="s">
        <v>0</v>
      </c>
    </row>
    <row r="15" spans="1:17" x14ac:dyDescent="0.25">
      <c r="A15" s="38" t="s">
        <v>26</v>
      </c>
      <c r="B15" s="38"/>
      <c r="C15" s="18"/>
      <c r="D15" s="35" t="s">
        <v>33</v>
      </c>
      <c r="E15" s="35"/>
      <c r="F15" s="17"/>
      <c r="G15" s="32" t="s">
        <v>22</v>
      </c>
      <c r="H15" s="32"/>
      <c r="J15" s="29" t="s">
        <v>34</v>
      </c>
      <c r="K15" s="29"/>
      <c r="M15" s="26" t="s">
        <v>35</v>
      </c>
      <c r="N15" s="26"/>
      <c r="P15" s="23" t="s">
        <v>36</v>
      </c>
      <c r="Q15" s="23"/>
    </row>
    <row r="16" spans="1:17" x14ac:dyDescent="0.25">
      <c r="A16" s="39" t="s">
        <v>23</v>
      </c>
      <c r="B16" s="20">
        <v>1700</v>
      </c>
      <c r="C16" s="21"/>
      <c r="D16" s="36" t="s">
        <v>23</v>
      </c>
      <c r="E16" s="20">
        <v>1700</v>
      </c>
      <c r="F16" s="17"/>
      <c r="G16" s="33" t="s">
        <v>23</v>
      </c>
      <c r="H16" s="22">
        <v>1700</v>
      </c>
      <c r="I16" s="22"/>
      <c r="J16" s="30" t="s">
        <v>23</v>
      </c>
      <c r="K16" s="22">
        <f>B16*(1+10%)</f>
        <v>1870.0000000000002</v>
      </c>
      <c r="M16" s="27" t="s">
        <v>23</v>
      </c>
      <c r="N16" s="22">
        <f>B16*(1+10%)</f>
        <v>1870.0000000000002</v>
      </c>
      <c r="P16" s="24" t="s">
        <v>23</v>
      </c>
      <c r="Q16" s="22">
        <f>B16*(1+10%)</f>
        <v>1870.0000000000002</v>
      </c>
    </row>
    <row r="17" spans="1:17" x14ac:dyDescent="0.25">
      <c r="A17" s="39" t="s">
        <v>24</v>
      </c>
      <c r="B17" s="20">
        <v>196</v>
      </c>
      <c r="C17" s="21"/>
      <c r="D17" s="36" t="s">
        <v>24</v>
      </c>
      <c r="E17" s="20">
        <v>196</v>
      </c>
      <c r="F17" s="13"/>
      <c r="G17" s="33" t="s">
        <v>24</v>
      </c>
      <c r="H17" s="22">
        <f>B17*(1+8%)</f>
        <v>211.68</v>
      </c>
      <c r="I17" s="22"/>
      <c r="J17" s="30" t="s">
        <v>24</v>
      </c>
      <c r="K17" s="22">
        <f>B17*(1+8%)</f>
        <v>211.68</v>
      </c>
      <c r="M17" s="27" t="s">
        <v>24</v>
      </c>
      <c r="N17" s="22">
        <f>B17*(1+8%)</f>
        <v>211.68</v>
      </c>
      <c r="P17" s="24" t="s">
        <v>24</v>
      </c>
      <c r="Q17" s="20">
        <f>B17*(1+8%)</f>
        <v>211.68</v>
      </c>
    </row>
    <row r="18" spans="1:17" x14ac:dyDescent="0.25">
      <c r="A18" s="39" t="s">
        <v>25</v>
      </c>
      <c r="B18" s="20">
        <v>150</v>
      </c>
      <c r="C18" s="21"/>
      <c r="D18" s="36" t="s">
        <v>25</v>
      </c>
      <c r="E18" s="20">
        <v>150</v>
      </c>
      <c r="F18" s="15"/>
      <c r="G18" s="33" t="s">
        <v>25</v>
      </c>
      <c r="H18" s="20">
        <f>B18*(1+7%)</f>
        <v>160.5</v>
      </c>
      <c r="I18" s="22"/>
      <c r="J18" s="30" t="s">
        <v>25</v>
      </c>
      <c r="K18" s="22">
        <f>B18*(1+7%)</f>
        <v>160.5</v>
      </c>
      <c r="M18" s="27" t="s">
        <v>25</v>
      </c>
      <c r="N18" s="22">
        <f>B18*(1+7%)</f>
        <v>160.5</v>
      </c>
      <c r="P18" s="24" t="s">
        <v>25</v>
      </c>
      <c r="Q18" s="20">
        <f>B18*(1+7%)</f>
        <v>160.5</v>
      </c>
    </row>
    <row r="19" spans="1:17" x14ac:dyDescent="0.25">
      <c r="A19" s="39" t="s">
        <v>27</v>
      </c>
      <c r="B19" s="20">
        <v>900</v>
      </c>
      <c r="C19" s="21"/>
      <c r="D19" s="36" t="s">
        <v>27</v>
      </c>
      <c r="E19" s="20">
        <v>900</v>
      </c>
      <c r="F19" s="15"/>
      <c r="G19" s="33" t="s">
        <v>27</v>
      </c>
      <c r="H19" s="22">
        <f>B19*(1+5.5%)</f>
        <v>949.5</v>
      </c>
      <c r="I19" s="22"/>
      <c r="J19" s="30" t="s">
        <v>27</v>
      </c>
      <c r="K19" s="22">
        <f>B19*(1+5.5%)</f>
        <v>949.5</v>
      </c>
      <c r="M19" s="27" t="s">
        <v>27</v>
      </c>
      <c r="N19" s="22">
        <f>B19*(1+5.5%)</f>
        <v>949.5</v>
      </c>
      <c r="P19" s="24" t="s">
        <v>27</v>
      </c>
      <c r="Q19" s="22">
        <f>B19*(1+5.5%)</f>
        <v>949.5</v>
      </c>
    </row>
    <row r="20" spans="1:17" x14ac:dyDescent="0.25">
      <c r="A20" s="39" t="s">
        <v>28</v>
      </c>
      <c r="B20" s="20">
        <v>200</v>
      </c>
      <c r="C20" s="21"/>
      <c r="D20" s="36" t="s">
        <v>28</v>
      </c>
      <c r="E20" s="20">
        <v>0</v>
      </c>
      <c r="F20" s="15"/>
      <c r="G20" s="33" t="s">
        <v>28</v>
      </c>
      <c r="H20" s="22">
        <v>200</v>
      </c>
      <c r="I20" s="22"/>
      <c r="J20" s="30" t="s">
        <v>28</v>
      </c>
      <c r="K20" s="22">
        <v>0</v>
      </c>
      <c r="M20" s="27" t="s">
        <v>28</v>
      </c>
      <c r="N20" s="22">
        <v>200</v>
      </c>
      <c r="P20" s="24" t="s">
        <v>28</v>
      </c>
      <c r="Q20" s="22">
        <v>0</v>
      </c>
    </row>
    <row r="21" spans="1:17" x14ac:dyDescent="0.25">
      <c r="A21" s="39" t="s">
        <v>29</v>
      </c>
      <c r="B21" s="20">
        <v>0</v>
      </c>
      <c r="C21" s="21"/>
      <c r="D21" s="36" t="s">
        <v>29</v>
      </c>
      <c r="E21" s="20">
        <v>0</v>
      </c>
      <c r="F21" s="15"/>
      <c r="G21" s="33" t="s">
        <v>29</v>
      </c>
      <c r="H21" s="22">
        <v>0</v>
      </c>
      <c r="I21" s="22"/>
      <c r="J21" s="30" t="s">
        <v>29</v>
      </c>
      <c r="K21" s="22">
        <v>595</v>
      </c>
      <c r="M21" s="27" t="s">
        <v>29</v>
      </c>
      <c r="N21" s="22">
        <v>0</v>
      </c>
      <c r="P21" s="24" t="s">
        <v>29</v>
      </c>
      <c r="Q21" s="22">
        <v>0</v>
      </c>
    </row>
    <row r="22" spans="1:17" x14ac:dyDescent="0.25">
      <c r="A22" s="40" t="s">
        <v>30</v>
      </c>
      <c r="B22" s="20">
        <f>SUM(B17:B21)</f>
        <v>1446</v>
      </c>
      <c r="C22" s="21"/>
      <c r="D22" s="37" t="s">
        <v>30</v>
      </c>
      <c r="E22" s="20">
        <f>SUM(E17:E21)</f>
        <v>1246</v>
      </c>
      <c r="F22" s="16"/>
      <c r="G22" s="34" t="s">
        <v>30</v>
      </c>
      <c r="H22" s="20">
        <f>SUM(H17:H21)</f>
        <v>1521.68</v>
      </c>
      <c r="I22" s="22"/>
      <c r="J22" s="31" t="s">
        <v>30</v>
      </c>
      <c r="K22" s="20">
        <f>SUM(K17:K21)</f>
        <v>1916.68</v>
      </c>
      <c r="M22" s="28" t="s">
        <v>30</v>
      </c>
      <c r="N22" s="22">
        <f>SUM(N17:N21)</f>
        <v>1521.68</v>
      </c>
      <c r="P22" s="25" t="s">
        <v>30</v>
      </c>
      <c r="Q22" s="20">
        <f>SUM(Q17:Q21)</f>
        <v>1321.68</v>
      </c>
    </row>
    <row r="23" spans="1:17" x14ac:dyDescent="0.25">
      <c r="A23" s="40" t="s">
        <v>31</v>
      </c>
      <c r="B23" s="20">
        <f>B16-B22</f>
        <v>254</v>
      </c>
      <c r="C23" s="21"/>
      <c r="D23" s="37" t="s">
        <v>31</v>
      </c>
      <c r="E23" s="22">
        <f>E16-E22</f>
        <v>454</v>
      </c>
      <c r="F23" s="15"/>
      <c r="G23" s="34" t="s">
        <v>31</v>
      </c>
      <c r="H23" s="20">
        <f>H16-H22</f>
        <v>178.31999999999994</v>
      </c>
      <c r="I23" s="22"/>
      <c r="J23" s="31" t="s">
        <v>31</v>
      </c>
      <c r="K23" s="22">
        <f>K16-K22</f>
        <v>-46.679999999999836</v>
      </c>
      <c r="M23" s="28" t="s">
        <v>31</v>
      </c>
      <c r="N23" s="22">
        <f>N16-N22</f>
        <v>348.32000000000016</v>
      </c>
      <c r="P23" s="25" t="s">
        <v>31</v>
      </c>
      <c r="Q23" s="22">
        <f>Q16-Q22</f>
        <v>548.32000000000016</v>
      </c>
    </row>
    <row r="24" spans="1:17" x14ac:dyDescent="0.25">
      <c r="A24" s="40" t="s">
        <v>32</v>
      </c>
      <c r="B24" s="20">
        <f>B23</f>
        <v>254</v>
      </c>
      <c r="C24" s="21"/>
      <c r="D24" s="37" t="s">
        <v>32</v>
      </c>
      <c r="E24" s="20">
        <f>B24+E23</f>
        <v>708</v>
      </c>
      <c r="F24" s="15"/>
      <c r="G24" s="34" t="s">
        <v>32</v>
      </c>
      <c r="H24" s="20">
        <f>E24+H23</f>
        <v>886.31999999999994</v>
      </c>
      <c r="I24" s="22"/>
      <c r="J24" s="31" t="s">
        <v>32</v>
      </c>
      <c r="K24" s="22">
        <f>H24+K23</f>
        <v>839.6400000000001</v>
      </c>
      <c r="M24" s="28" t="s">
        <v>32</v>
      </c>
      <c r="N24" s="22">
        <f>K24+N23</f>
        <v>1187.9600000000003</v>
      </c>
      <c r="P24" s="25" t="s">
        <v>32</v>
      </c>
      <c r="Q24" s="22">
        <f>N24+Q23</f>
        <v>1736.2800000000004</v>
      </c>
    </row>
    <row r="25" spans="1:17" x14ac:dyDescent="0.25">
      <c r="C25" s="22"/>
      <c r="E25" s="19"/>
    </row>
    <row r="26" spans="1:17" x14ac:dyDescent="0.25">
      <c r="A26"/>
      <c r="B26" s="14"/>
    </row>
    <row r="27" spans="1:17" x14ac:dyDescent="0.25">
      <c r="A27" s="12"/>
      <c r="B27" s="14"/>
    </row>
    <row r="28" spans="1:17" x14ac:dyDescent="0.25">
      <c r="A28" s="12"/>
      <c r="B28" s="14"/>
    </row>
    <row r="29" spans="1:17" x14ac:dyDescent="0.25">
      <c r="A29" s="12"/>
      <c r="B29" s="14"/>
    </row>
    <row r="30" spans="1:17" x14ac:dyDescent="0.25">
      <c r="A30" s="12"/>
      <c r="B30" s="14"/>
    </row>
    <row r="31" spans="1:17" x14ac:dyDescent="0.25">
      <c r="A31" s="12"/>
      <c r="B31" s="14"/>
    </row>
    <row r="32" spans="1:17" x14ac:dyDescent="0.25">
      <c r="A32" s="12"/>
      <c r="B32" s="14"/>
    </row>
    <row r="33" spans="1:2" x14ac:dyDescent="0.25">
      <c r="A33" s="12"/>
      <c r="B33" s="14"/>
    </row>
    <row r="34" spans="1:2" x14ac:dyDescent="0.25">
      <c r="A34" s="12"/>
      <c r="B34" s="14"/>
    </row>
    <row r="35" spans="1:2" x14ac:dyDescent="0.25">
      <c r="A35" s="12"/>
      <c r="B35" s="14"/>
    </row>
    <row r="36" spans="1:2" x14ac:dyDescent="0.25">
      <c r="A36" s="12"/>
      <c r="B36" s="14"/>
    </row>
    <row r="37" spans="1:2" x14ac:dyDescent="0.25">
      <c r="A37" s="12"/>
      <c r="B37" s="14"/>
    </row>
    <row r="38" spans="1:2" x14ac:dyDescent="0.25">
      <c r="A38" s="12"/>
      <c r="B38" s="14"/>
    </row>
    <row r="39" spans="1:2" x14ac:dyDescent="0.25">
      <c r="A39" s="12"/>
      <c r="B39" s="14"/>
    </row>
    <row r="40" spans="1:2" x14ac:dyDescent="0.25">
      <c r="A40" s="12"/>
      <c r="B40" s="14"/>
    </row>
    <row r="41" spans="1:2" x14ac:dyDescent="0.25">
      <c r="A41" s="12"/>
    </row>
    <row r="42" spans="1:2" x14ac:dyDescent="0.25">
      <c r="A42" s="12"/>
    </row>
    <row r="43" spans="1:2" x14ac:dyDescent="0.25">
      <c r="A43" s="12"/>
    </row>
    <row r="44" spans="1:2" x14ac:dyDescent="0.25">
      <c r="A44" s="12"/>
    </row>
    <row r="45" spans="1:2" x14ac:dyDescent="0.25">
      <c r="A45" s="12"/>
    </row>
    <row r="46" spans="1:2" x14ac:dyDescent="0.25">
      <c r="A46" s="12"/>
    </row>
    <row r="47" spans="1:2" x14ac:dyDescent="0.25">
      <c r="A47" s="12"/>
    </row>
    <row r="48" spans="1:2" x14ac:dyDescent="0.25">
      <c r="A48" s="12"/>
    </row>
    <row r="49" spans="1:1" x14ac:dyDescent="0.25">
      <c r="A49" s="12"/>
    </row>
    <row r="50" spans="1:1" x14ac:dyDescent="0.25">
      <c r="A50" s="12"/>
    </row>
  </sheetData>
  <mergeCells count="6">
    <mergeCell ref="J15:K15"/>
    <mergeCell ref="M15:N15"/>
    <mergeCell ref="P15:Q15"/>
    <mergeCell ref="A15:B15"/>
    <mergeCell ref="G15:H15"/>
    <mergeCell ref="D15:E15"/>
  </mergeCells>
  <phoneticPr fontId="3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"/>
  <sheetViews>
    <sheetView zoomScaleNormal="100" workbookViewId="0">
      <selection activeCell="D6" sqref="D6"/>
    </sheetView>
  </sheetViews>
  <sheetFormatPr defaultRowHeight="15" x14ac:dyDescent="0.25"/>
  <cols>
    <col min="6" max="6" width="17" customWidth="1"/>
    <col min="7" max="7" width="7" customWidth="1"/>
    <col min="8" max="8" width="9.28515625" customWidth="1"/>
    <col min="10" max="10" width="7" customWidth="1"/>
    <col min="11" max="11" width="9.28515625" customWidth="1"/>
  </cols>
  <sheetData>
    <row r="1" spans="1:11" x14ac:dyDescent="0.25">
      <c r="A1" t="s">
        <v>11</v>
      </c>
      <c r="F1" t="s">
        <v>12</v>
      </c>
      <c r="G1" s="3">
        <v>8</v>
      </c>
      <c r="H1" s="4">
        <f>1+G1/100</f>
        <v>1.08</v>
      </c>
      <c r="J1" s="5">
        <v>0.08</v>
      </c>
      <c r="K1" s="4">
        <f>1+J1</f>
        <v>1.08</v>
      </c>
    </row>
    <row r="2" spans="1:11" x14ac:dyDescent="0.25">
      <c r="J2" s="6"/>
      <c r="K2" s="4"/>
    </row>
    <row r="3" spans="1:11" x14ac:dyDescent="0.25">
      <c r="A3" t="s">
        <v>13</v>
      </c>
      <c r="F3" t="s">
        <v>14</v>
      </c>
      <c r="G3" s="7">
        <v>6.3</v>
      </c>
      <c r="H3" s="4">
        <f>1-G3/100</f>
        <v>0.93700000000000006</v>
      </c>
      <c r="J3" s="5">
        <v>6.3E-2</v>
      </c>
      <c r="K3" s="4">
        <f>1-J3</f>
        <v>0.93700000000000006</v>
      </c>
    </row>
    <row r="5" spans="1:11" x14ac:dyDescent="0.25">
      <c r="C5" s="8" t="s">
        <v>15</v>
      </c>
      <c r="D5" s="8" t="s">
        <v>16</v>
      </c>
      <c r="E5" s="8" t="s">
        <v>17</v>
      </c>
    </row>
    <row r="6" spans="1:11" x14ac:dyDescent="0.25">
      <c r="B6" t="s">
        <v>18</v>
      </c>
      <c r="C6" s="9">
        <v>150</v>
      </c>
      <c r="D6" s="10">
        <f>C6*$H$1</f>
        <v>162</v>
      </c>
      <c r="E6" s="10">
        <f>C6*$H$3</f>
        <v>140.55000000000001</v>
      </c>
    </row>
    <row r="7" spans="1:11" x14ac:dyDescent="0.25">
      <c r="B7" t="s">
        <v>19</v>
      </c>
      <c r="C7" s="9">
        <v>40</v>
      </c>
      <c r="D7" s="10">
        <f>C7*$H$1</f>
        <v>43.2</v>
      </c>
      <c r="E7" s="10">
        <f>C7*$H$3</f>
        <v>37.480000000000004</v>
      </c>
      <c r="G7" s="11"/>
      <c r="H7" s="4"/>
    </row>
    <row r="8" spans="1:11" x14ac:dyDescent="0.25">
      <c r="B8" t="s">
        <v>20</v>
      </c>
      <c r="C8" s="9">
        <v>120</v>
      </c>
      <c r="D8" s="10">
        <f>C8*$H$1</f>
        <v>129.60000000000002</v>
      </c>
      <c r="E8" s="10">
        <f>C8*$H$3</f>
        <v>112.44000000000001</v>
      </c>
    </row>
    <row r="9" spans="1:11" x14ac:dyDescent="0.25">
      <c r="B9" t="s">
        <v>21</v>
      </c>
      <c r="C9" s="9">
        <v>300</v>
      </c>
      <c r="D9" s="10">
        <f>C9*$H$1</f>
        <v>324</v>
      </c>
      <c r="E9" s="10">
        <f>C9*$H$3</f>
        <v>281.10000000000002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Aluno</vt:lpstr>
      <vt:lpstr>Fator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Guedert</dc:creator>
  <cp:lastModifiedBy>Enzo</cp:lastModifiedBy>
  <dcterms:created xsi:type="dcterms:W3CDTF">2026-04-27T14:14:20Z</dcterms:created>
  <dcterms:modified xsi:type="dcterms:W3CDTF">2026-05-04T03:30:01Z</dcterms:modified>
</cp:coreProperties>
</file>